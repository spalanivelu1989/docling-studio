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Summary" sheetId="2" state="visible" r:id="rId4"/>
    <sheet name="Questions" sheetId="3" state="visible" r:id="rId5"/>
  </sheets>
  <definedNames>
    <definedName function="false" hidden="true" localSheetId="2" name="_xlnm._FilterDatabase" vbProcedure="false">Questions!$A$1:$Q$43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<sst xmlns="http://schemas.openxmlformats.org/spreadsheetml/2006/main" count="375" uniqueCount="212">
  <si>
    <t xml:space="preserve">SPARK Fit-Gap Copilot — evaluation golden set</t>
  </si>
  <si>
    <t xml:space="preserve">Version</t>
  </si>
  <si>
    <t xml:space="preserve">v1 · 21 Sep 2026 · L2C slice</t>
  </si>
  <si>
    <t xml:space="preserve">Purpose</t>
  </si>
  <si>
    <t xml:space="preserve">Questions to evaluate the Docling Studio stack (RAG engine, graph engine) and the Fit-Gap Copilot. Loaded by fitgap/eval (sheet 'Questions').</t>
  </si>
  <si>
    <t xml:space="preserve">What to fill in</t>
  </si>
  <si>
    <t xml:space="preserve">Yellow cells in 'Questions': Expected answer, Gold source file(s), Gold heading / chunk, Expected class (C rows), Filled by, Status. After a run: Run result.</t>
  </si>
  <si>
    <t xml:space="preserve">Expected answers</t>
  </si>
  <si>
    <t xml:space="preserve">Must come from the corpus, not memory. C rows: take the class from the wave-1 fit registers (L2C - Fits.xlsx, Reports listed as FITs and GAPs L2C.xlsx).</t>
  </si>
  <si>
    <t xml:space="preserve">Holdout</t>
  </si>
  <si>
    <t xml:space="preserve">C, F and L rows marked 'Holdout ON' must run with fit registers and FIT/GAP folder tokens hidden from the agent.</t>
  </si>
  <si>
    <t xml:space="preserve">Scoring</t>
  </si>
  <si>
    <t xml:space="preserve">Run result: Pass = 1, Partial = 0.5, Fail = 0. Negative tests (N) carry weight 2; all others weight 1. 'Must not' is an automatic Fail if it occurs.</t>
  </si>
  <si>
    <t xml:space="preserve">Status values</t>
  </si>
  <si>
    <t xml:space="preserve">Draft = expected answer not yet filled · Ready = filled and checked by a second person · Retired = no longer valid</t>
  </si>
  <si>
    <t xml:space="preserve">Example filled row (illustrative only)</t>
  </si>
  <si>
    <t xml:space="preserve">ID R3 · Expected answer: '4.4.8.10 Pricing' · Gold source file: 'SPARK-20163 4.4.8.10 Pricing/FUT_….md' · Gold heading: 'Test scenario &gt; Pricing' · Filled by: process lead initials · Status: Ready</t>
  </si>
  <si>
    <t xml:space="preserve">Legend</t>
  </si>
  <si>
    <t xml:space="preserve">Yellow fill = cell for you to fill in</t>
  </si>
  <si>
    <t xml:space="preserve">Group</t>
  </si>
  <si>
    <t xml:space="preserve">Questions</t>
  </si>
  <si>
    <t xml:space="preserve">Ready</t>
  </si>
  <si>
    <t xml:space="preserve">Run</t>
  </si>
  <si>
    <t xml:space="preserve">Passed</t>
  </si>
  <si>
    <t xml:space="preserve">Weighted score</t>
  </si>
  <si>
    <t xml:space="preserve">Max weight (run)</t>
  </si>
  <si>
    <t xml:space="preserve">Pass rate</t>
  </si>
  <si>
    <t xml:space="preserve">Retrieval – exact codes</t>
  </si>
  <si>
    <t xml:space="preserve">Retrieval – paraphrase</t>
  </si>
  <si>
    <t xml:space="preserve">Graph traversal</t>
  </si>
  <si>
    <t xml:space="preserve">Copilot Mode A classification</t>
  </si>
  <si>
    <t xml:space="preserve">Evidence &amp; faithfulness</t>
  </si>
  <si>
    <t xml:space="preserve">Negative / unknown</t>
  </si>
  <si>
    <t xml:space="preserve">Leakage</t>
  </si>
  <si>
    <t xml:space="preserve">Synthesis &amp; decisions</t>
  </si>
  <si>
    <t xml:space="preserve">Copilot Mode B country delta</t>
  </si>
  <si>
    <t xml:space="preserve">Total</t>
  </si>
  <si>
    <t xml:space="preserve">Weighted pass rate (headline)</t>
  </si>
  <si>
    <t xml:space="preserve">Note: Weighted score uses Score column (Pass 1, Partial 0.5, Fail 0) × Weight; negative tests weigh 2.</t>
  </si>
  <si>
    <t xml:space="preserve">ID</t>
  </si>
  <si>
    <t xml:space="preserve">Engine</t>
  </si>
  <si>
    <t xml:space="preserve">Question</t>
  </si>
  <si>
    <t xml:space="preserve">Setup / injection</t>
  </si>
  <si>
    <t xml:space="preserve">Pass criterion</t>
  </si>
  <si>
    <t xml:space="preserve">Must not</t>
  </si>
  <si>
    <t xml:space="preserve">Weight</t>
  </si>
  <si>
    <t xml:space="preserve">Expected answer</t>
  </si>
  <si>
    <t xml:space="preserve">Gold source file(s)</t>
  </si>
  <si>
    <t xml:space="preserve">Gold heading / chunk</t>
  </si>
  <si>
    <t xml:space="preserve">Expected class</t>
  </si>
  <si>
    <t xml:space="preserve">Filled by</t>
  </si>
  <si>
    <t xml:space="preserve">Status</t>
  </si>
  <si>
    <t xml:space="preserve">Run result</t>
  </si>
  <si>
    <t xml:space="preserve">Score</t>
  </si>
  <si>
    <t xml:space="preserve">Notes</t>
  </si>
  <si>
    <t xml:space="preserve">R1</t>
  </si>
  <si>
    <t xml:space="preserve">RAG</t>
  </si>
  <si>
    <t xml:space="preserve">Who validated 7.1.12.3?</t>
  </si>
  <si>
    <t xml:space="preserve">Names the validator; cites the chunk containing 7.1.12.3</t>
  </si>
  <si>
    <t xml:space="preserve">n/a</t>
  </si>
  <si>
    <t xml:space="preserve">Draft</t>
  </si>
  <si>
    <t xml:space="preserve">R2</t>
  </si>
  <si>
    <t xml:space="preserve">What is SPARK-33997 about, and which output does it cover?</t>
  </si>
  <si>
    <t xml:space="preserve">Mentions DM035 Sales Output; cites FUT material for the ticket</t>
  </si>
  <si>
    <t xml:space="preserve">R3</t>
  </si>
  <si>
    <t xml:space="preserve">Which BPML step does SPARK-20163 relate to?</t>
  </si>
  <si>
    <t xml:space="preserve">Returns 4.4.8.10 Pricing</t>
  </si>
  <si>
    <t xml:space="preserve">R4</t>
  </si>
  <si>
    <t xml:space="preserve">Where is M-090-030 defined and what is it?</t>
  </si>
  <si>
    <t xml:space="preserve">Gold chunk appears in the top 8 results</t>
  </si>
  <si>
    <t xml:space="preserve">R5</t>
  </si>
  <si>
    <t xml:space="preserve">List all documents that mention DM035.</t>
  </si>
  <si>
    <t xml:space="preserve">Recall &gt;= 90% against a grep of the corpus</t>
  </si>
  <si>
    <t xml:space="preserve">R6</t>
  </si>
  <si>
    <t xml:space="preserve">What does the Material Sales View fields email say must be filled?</t>
  </si>
  <si>
    <t xml:space="preserve">Cites the Material Sales View email file</t>
  </si>
  <si>
    <t xml:space="preserve">P1</t>
  </si>
  <si>
    <t xml:space="preserve">How does the template handle consignment stock for Italy?</t>
  </si>
  <si>
    <t xml:space="preserve">Retrieves consignment material and the Italian consignment stock register</t>
  </si>
  <si>
    <t xml:space="preserve">P2</t>
  </si>
  <si>
    <t xml:space="preserve">How are sales order confirmations sent to customers?</t>
  </si>
  <si>
    <t xml:space="preserve">Retrieves order-confirmation output or form material</t>
  </si>
  <si>
    <t xml:space="preserve">P3</t>
  </si>
  <si>
    <t xml:space="preserve">What happens to a sales order when the customer exceeds the credit limit?</t>
  </si>
  <si>
    <t xml:space="preserve">Retrieves credit-management config/FUT, or states it is not in the corpus</t>
  </si>
  <si>
    <t xml:space="preserve">P4</t>
  </si>
  <si>
    <t xml:space="preserve">How are payment terms migrated from ECC?</t>
  </si>
  <si>
    <t xml:space="preserve">Retrieves payment-term extracts (CUST) and says they describe AS-IS</t>
  </si>
  <si>
    <t xml:space="preserve">P5</t>
  </si>
  <si>
    <t xml:space="preserve">Which partner functions are used on a sales order?</t>
  </si>
  <si>
    <t xml:space="preserve">Separates legacy ECC partner functions from TO-BE ones</t>
  </si>
  <si>
    <t xml:space="preserve">G1</t>
  </si>
  <si>
    <t xml:space="preserve">Graph</t>
  </si>
  <si>
    <t xml:space="preserve">How does eCommerce connect to S/4HANA?</t>
  </si>
  <si>
    <t xml:space="preserve">Path through the correct system; every hop has evidence</t>
  </si>
  <si>
    <t xml:space="preserve">G2</t>
  </si>
  <si>
    <t xml:space="preserve">Which systems exchange data with the billing step?</t>
  </si>
  <si>
    <t xml:space="preserve">System list plus interface references</t>
  </si>
  <si>
    <t xml:space="preserve">G3</t>
  </si>
  <si>
    <t xml:space="preserve">Which SPARK tickets touch pricing (4.4.8.x)?</t>
  </si>
  <si>
    <t xml:space="preserve">Complete list against a grep</t>
  </si>
  <si>
    <t xml:space="preserve">G4</t>
  </si>
  <si>
    <t xml:space="preserve">What connects Esker to the order-to-cash flow?</t>
  </si>
  <si>
    <t xml:space="preserve">Path of 3 hops or fewer; no fabricated nodes</t>
  </si>
  <si>
    <t xml:space="preserve">G5</t>
  </si>
  <si>
    <t xml:space="preserve">Which BPML steps have no ticket linked?</t>
  </si>
  <si>
    <t xml:space="preserve">Matches the orphan count from eval E2</t>
  </si>
  <si>
    <t xml:space="preserve">G6</t>
  </si>
  <si>
    <t xml:space="preserve">Is Sovos connected to invoicing, and through what?</t>
  </si>
  <si>
    <t xml:space="preserve">Correct path, or 'no path' if the graph lacks one</t>
  </si>
  <si>
    <t xml:space="preserve">C1</t>
  </si>
  <si>
    <t xml:space="preserve">Copilot A</t>
  </si>
  <si>
    <t xml:space="preserve">Classify 4.4.8.10 Pricing: standard, configuration or development?</t>
  </si>
  <si>
    <t xml:space="preserve">Holdout ON</t>
  </si>
  <si>
    <t xml:space="preserve">Matches the fit register; confidence &gt;= 0.7 with 2+ sources</t>
  </si>
  <si>
    <t xml:space="preserve">C2</t>
  </si>
  <si>
    <t xml:space="preserve">Classify the sales output step behind DM035.</t>
  </si>
  <si>
    <t xml:space="preserve">Matches the fit register; cites FUT material, not the register</t>
  </si>
  <si>
    <t xml:space="preserve">C3</t>
  </si>
  <si>
    <t xml:space="preserve">Classify the consignment steps.</t>
  </si>
  <si>
    <t xml:space="preserve">Matches the fit register; flags the Italian statutory element</t>
  </si>
  <si>
    <t xml:space="preserve">C4</t>
  </si>
  <si>
    <t xml:space="preserve">Classify a step that appears only in 'L2C FITs with missing description'.</t>
  </si>
  <si>
    <t xml:space="preserve">Holdout ON; pick one such step</t>
  </si>
  <si>
    <t xml:space="preserve">UNKNOWN or low confidence; no confident guess</t>
  </si>
  <si>
    <t xml:space="preserve">C5</t>
  </si>
  <si>
    <t xml:space="preserve">Classify 10 random L2C level-4 steps.</t>
  </si>
  <si>
    <t xml:space="preserve">Holdout ON; list the 10 codes in Notes</t>
  </si>
  <si>
    <t xml:space="preserve">Accuracy &gt;= 80% on non-UNKNOWN; coverage &gt;= 70%</t>
  </si>
  <si>
    <t xml:space="preserve">F1</t>
  </si>
  <si>
    <t xml:space="preserve">Verifier</t>
  </si>
  <si>
    <t xml:space="preserve">For C1, show the exact sentences supporting the classification.</t>
  </si>
  <si>
    <t xml:space="preserve">Uses C1 output</t>
  </si>
  <si>
    <t xml:space="preserve">Every quote is a verbatim substring of its chunk</t>
  </si>
  <si>
    <t xml:space="preserve">F2</t>
  </si>
  <si>
    <t xml:space="preserve">Is there evidence against the C2 classification?</t>
  </si>
  <si>
    <t xml:space="preserve">Uses C2 output</t>
  </si>
  <si>
    <t xml:space="preserve">Lists 'against' evidence, or states none found</t>
  </si>
  <si>
    <t xml:space="preserve">F3</t>
  </si>
  <si>
    <t xml:space="preserve">Is the C3 evidence from a transcript or a specification?</t>
  </si>
  <si>
    <t xml:space="preserve">Uses C3 output</t>
  </si>
  <si>
    <t xml:space="preserve">Correct source type; confidence capped at 0.4 if only transcripts</t>
  </si>
  <si>
    <t xml:space="preserve">F4</t>
  </si>
  <si>
    <t xml:space="preserve">Verify an entry containing a chunk ID that was not retrieved.</t>
  </si>
  <si>
    <t xml:space="preserve">Inject a fake chunk ID</t>
  </si>
  <si>
    <t xml:space="preserve">Verifier rejects the entry</t>
  </si>
  <si>
    <t xml:space="preserve">Fabricated citation accepted</t>
  </si>
  <si>
    <t xml:space="preserve">N1</t>
  </si>
  <si>
    <t xml:space="preserve">RAG + Copilot</t>
  </si>
  <si>
    <t xml:space="preserve">What is the e-invoicing mandate for Brazil in the template?</t>
  </si>
  <si>
    <t xml:space="preserve">States not in corpus (EXT has no Brazil material)</t>
  </si>
  <si>
    <t xml:space="preserve">Any invented mandate</t>
  </si>
  <si>
    <t xml:space="preserve">N2</t>
  </si>
  <si>
    <t xml:space="preserve">Which SDD defines the returns process?</t>
  </si>
  <si>
    <t xml:space="preserve">States no SDD layer exists; points to config/FUT instead</t>
  </si>
  <si>
    <t xml:space="preserve">A named SDD</t>
  </si>
  <si>
    <t xml:space="preserve">N3</t>
  </si>
  <si>
    <t xml:space="preserve">Who approved the credit-check design decision?</t>
  </si>
  <si>
    <t xml:space="preserve">Named approver only if stated in a document; else UNKNOWN</t>
  </si>
  <si>
    <t xml:space="preserve">An inferred approver</t>
  </si>
  <si>
    <t xml:space="preserve">N4</t>
  </si>
  <si>
    <t xml:space="preserve">What is SPARK-99999?</t>
  </si>
  <si>
    <t xml:space="preserve">Fictitious ticket</t>
  </si>
  <si>
    <t xml:space="preserve">States not found</t>
  </si>
  <si>
    <t xml:space="preserve">Any description of the ticket</t>
  </si>
  <si>
    <t xml:space="preserve">N5</t>
  </si>
  <si>
    <t xml:space="preserve">Classify BPML step 9.9.9.9.</t>
  </si>
  <si>
    <t xml:space="preserve">Code not in hierarchy</t>
  </si>
  <si>
    <t xml:space="preserve">Refuses: code not in the BPML hierarchy</t>
  </si>
  <si>
    <t xml:space="preserve">Any classification</t>
  </si>
  <si>
    <t xml:space="preserve">L1</t>
  </si>
  <si>
    <t xml:space="preserve">Run C1–C5 with holdout ON, then OFF; compare accuracy.</t>
  </si>
  <si>
    <t xml:space="preserve">Two runs</t>
  </si>
  <si>
    <t xml:space="preserve">Accuracy gap &lt; 10 points</t>
  </si>
  <si>
    <t xml:space="preserve">L2</t>
  </si>
  <si>
    <t xml:space="preserve">With holdout ON: is 4.4.8.10 a FIT or a GAP?</t>
  </si>
  <si>
    <t xml:space="preserve">No citation from fit-register files or FIT/GAP folder paths</t>
  </si>
  <si>
    <t xml:space="preserve">Citation of a fit register</t>
  </si>
  <si>
    <t xml:space="preserve">L3</t>
  </si>
  <si>
    <t xml:space="preserve">Check which graph edges derive from folder or file names.</t>
  </si>
  <si>
    <t xml:space="preserve">Inspect graph</t>
  </si>
  <si>
    <t xml:space="preserve">None are used in holdout mode</t>
  </si>
  <si>
    <t xml:space="preserve">S1</t>
  </si>
  <si>
    <t xml:space="preserve">Copilot synthesis</t>
  </si>
  <si>
    <t xml:space="preserve">What percentage of L2C steps reuse the template unchanged?</t>
  </si>
  <si>
    <t xml:space="preserve">Full L2C run</t>
  </si>
  <si>
    <t xml:space="preserve">Figure reconciles to per-entry classes</t>
  </si>
  <si>
    <t xml:space="preserve">S2</t>
  </si>
  <si>
    <t xml:space="preserve">Which 5 gaps are the most material?</t>
  </si>
  <si>
    <t xml:space="preserve">Sorted by materiality then confidence; all pricing/credit/billing/tax/interface</t>
  </si>
  <si>
    <t xml:space="preserve">S3</t>
  </si>
  <si>
    <t xml:space="preserve">What decisions must Solvay make for consignment?</t>
  </si>
  <si>
    <t xml:space="preserve">2–4 options each with evidence; no recommendation</t>
  </si>
  <si>
    <t xml:space="preserve">A recommended option</t>
  </si>
  <si>
    <t xml:space="preserve">S4</t>
  </si>
  <si>
    <t xml:space="preserve">Which interfaces are affected by the gaps?</t>
  </si>
  <si>
    <t xml:space="preserve">Grouped by system; each backed by evidence</t>
  </si>
  <si>
    <t xml:space="preserve">S5</t>
  </si>
  <si>
    <t xml:space="preserve">Build a workshop agenda for pricing and billing.</t>
  </si>
  <si>
    <t xml:space="preserve">Ordered by decision weight; pre-read links present</t>
  </si>
  <si>
    <t xml:space="preserve">B1</t>
  </si>
  <si>
    <t xml:space="preserve">Copilot B</t>
  </si>
  <si>
    <t xml:space="preserve">Which L2C steps must change for the US (sales tax)?</t>
  </si>
  <si>
    <t xml:space="preserve">Sample US profile</t>
  </si>
  <si>
    <t xml:space="preserve">ADAPT/CHALLENGE with evidence; UNKNOWN where corpus is silent</t>
  </si>
  <si>
    <t xml:space="preserve">B2</t>
  </si>
  <si>
    <t xml:space="preserve">Can the Italian consignment register pattern be reused elsewhere?</t>
  </si>
  <si>
    <t xml:space="preserve">Sample profile</t>
  </si>
  <si>
    <t xml:space="preserve">CHALLENGE, flagged as Italy-specific statutory</t>
  </si>
  <si>
    <t xml:space="preserve">B3</t>
  </si>
  <si>
    <t xml:space="preserve">Which template customisations should be challenged before they travel?</t>
  </si>
  <si>
    <t xml:space="preserve">Development items listed, each with an SAP-standard alternative question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</si>
</sst>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0.0"/>
    <numFmt numFmtId="167" formatCode="0.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7283C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17283C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17283C"/>
      <name val="Arial"/>
      <family val="0"/>
      <charset val="1"/>
    </font>
    <font>
      <b val="true"/>
      <sz val="12"/>
      <color rgb="FF17283C"/>
      <name val="Arial"/>
      <family val="0"/>
      <charset val="1"/>
    </font>
    <font>
      <i val="true"/>
      <sz val="9"/>
      <color rgb="FF7C8696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FEF6E0"/>
      </patternFill>
    </fill>
    <fill>
      <patternFill patternType="solid">
        <fgColor rgb="FF17283C"/>
        <bgColor rgb="FF003366"/>
      </patternFill>
    </fill>
    <fill>
      <patternFill patternType="solid">
        <fgColor rgb="FFE3F7F6"/>
        <bgColor rgb="FFDCF5E3"/>
      </patternFill>
    </fill>
    <fill>
      <patternFill patternType="solid">
        <fgColor rgb="FFFEF6E0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8DEE5"/>
      </left>
      <right style="thin">
        <color rgb="FFD8DEE5"/>
      </right>
      <top style="thin">
        <color rgb="FFD8DEE5"/>
      </top>
      <bottom style="thin">
        <color rgb="FFD8DEE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7283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>
          <bgColor rgb="FFDCF5E3"/>
        </patternFill>
      </fill>
    </dxf>
    <dxf>
      <fill>
        <patternFill>
          <bgColor rgb="FFFDE2E2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C8696"/>
      <rgbColor rgb="FF9999FF"/>
      <rgbColor rgb="FF993366"/>
      <rgbColor rgb="FFFEF6E0"/>
      <rgbColor rgb="FFE3F7F6"/>
      <rgbColor rgb="FF660066"/>
      <rgbColor rgb="FFFF8080"/>
      <rgbColor rgb="FF0066CC"/>
      <rgbColor rgb="FFD8DE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CF5E3"/>
      <rgbColor rgb="FFFFF2CC"/>
      <rgbColor rgb="FF99CCFF"/>
      <rgbColor rgb="FFFF99CC"/>
      <rgbColor rgb="FFCC99FF"/>
      <rgbColor rgb="FFFDE2E2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7283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31.5" hidden="false" customHeight="true" outlineLevel="0" collapsed="false">
      <c r="A1" s="1" t="s">
        <v>0</v>
      </c>
      <c r="B1" s="2"/>
    </row>
    <row r="2" customFormat="false" ht="36" hidden="false" customHeight="true" outlineLevel="0" collapsed="false">
      <c r="A2" s="3" t="s">
        <v>1</v>
      </c>
      <c r="B2" s="2" t="s">
        <v>2</v>
      </c>
    </row>
    <row r="3" customFormat="false" ht="36" hidden="false" customHeight="true" outlineLevel="0" collapsed="false">
      <c r="A3" s="3" t="s">
        <v>3</v>
      </c>
      <c r="B3" s="2" t="s">
        <v>4</v>
      </c>
    </row>
    <row r="4" customFormat="false" ht="36" hidden="false" customHeight="true" outlineLevel="0" collapsed="false">
      <c r="A4" s="3" t="s">
        <v>5</v>
      </c>
      <c r="B4" s="2" t="s">
        <v>6</v>
      </c>
    </row>
    <row r="5" customFormat="false" ht="36" hidden="false" customHeight="true" outlineLevel="0" collapsed="false">
      <c r="A5" s="3" t="s">
        <v>7</v>
      </c>
      <c r="B5" s="2" t="s">
        <v>8</v>
      </c>
    </row>
    <row r="6" customFormat="false" ht="36" hidden="false" customHeight="true" outlineLevel="0" collapsed="false">
      <c r="A6" s="3" t="s">
        <v>9</v>
      </c>
      <c r="B6" s="2" t="s">
        <v>10</v>
      </c>
    </row>
    <row r="7" customFormat="false" ht="36" hidden="false" customHeight="true" outlineLevel="0" collapsed="false">
      <c r="A7" s="3" t="s">
        <v>11</v>
      </c>
      <c r="B7" s="2" t="s">
        <v>12</v>
      </c>
    </row>
    <row r="8" customFormat="false" ht="36" hidden="false" customHeight="true" outlineLevel="0" collapsed="false">
      <c r="A8" s="3" t="s">
        <v>13</v>
      </c>
      <c r="B8" s="2" t="s">
        <v>14</v>
      </c>
    </row>
    <row r="9" customFormat="false" ht="36" hidden="false" customHeight="true" outlineLevel="0" collapsed="false">
      <c r="A9" s="3" t="s">
        <v>15</v>
      </c>
      <c r="B9" s="2" t="s">
        <v>16</v>
      </c>
    </row>
    <row r="10" customFormat="false" ht="15" hidden="false" customHeight="false" outlineLevel="0" collapsed="false">
      <c r="A10" s="4" t="s">
        <v>17</v>
      </c>
      <c r="B10" s="5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2"/>
    <col collapsed="false" customWidth="true" hidden="false" outlineLevel="0" max="5" min="3" style="0" width="10"/>
    <col collapsed="false" customWidth="true" hidden="false" outlineLevel="0" max="6" min="6" style="0" width="15"/>
    <col collapsed="false" customWidth="true" hidden="false" outlineLevel="0" max="7" min="7" style="0" width="17"/>
    <col collapsed="false" customWidth="true" hidden="false" outlineLevel="0" max="8" min="8" style="0" width="12"/>
  </cols>
  <sheetData>
    <row r="1" customFormat="false" ht="30" hidden="false" customHeight="true" outlineLevel="0" collapsed="false">
      <c r="A1" s="6" t="s">
        <v>19</v>
      </c>
      <c r="B1" s="6" t="s">
        <v>20</v>
      </c>
      <c r="C1" s="6" t="s">
        <v>21</v>
      </c>
      <c r="D1" s="6" t="s">
        <v>22</v>
      </c>
      <c r="E1" s="6" t="s">
        <v>23</v>
      </c>
      <c r="F1" s="6" t="s">
        <v>24</v>
      </c>
      <c r="G1" s="6" t="s">
        <v>25</v>
      </c>
      <c r="H1" s="6" t="s">
        <v>26</v>
      </c>
    </row>
    <row r="2" customFormat="false" ht="24" hidden="false" customHeight="true" outlineLevel="0" collapsed="false">
      <c r="A2" s="7" t="s">
        <v>27</v>
      </c>
      <c r="B2" s="8" t="n">
        <f aca="false">COUNTIF(Questions!$B$2:$B$43,A2)</f>
        <v>6</v>
      </c>
      <c r="C2" s="8" t="n">
        <f aca="false">COUNTIFS(Questions!$B$2:$B$43,A2,Questions!$N$2:$N$43,"Ready")</f>
        <v>0</v>
      </c>
      <c r="D2" s="8" t="n">
        <f aca="false">COUNTIFS(Questions!$B$2:$B$43,A2,Questions!$O$2:$O$43,"&lt;&gt;")</f>
        <v>0</v>
      </c>
      <c r="E2" s="8" t="n">
        <f aca="false">COUNTIFS(Questions!$B$2:$B$43,A2,Questions!$O$2:$O$43,"Pass")</f>
        <v>0</v>
      </c>
      <c r="F2" s="9" t="n">
        <f aca="false">SUMPRODUCT((Questions!$B$2:$B$43=A2)*(Questions!$O$2:$O$43&lt;&gt;"")*Questions!$H$2:$H$43*N(+Questions!$P$2:$P$43))</f>
        <v>0</v>
      </c>
      <c r="G2" s="8" t="n">
        <f aca="false">SUMPRODUCT((Questions!$B$2:$B$43=A2)*(Questions!$O$2:$O$43&lt;&gt;"")*Questions!$H$2:$H$43)</f>
        <v>0</v>
      </c>
      <c r="H2" s="10" t="str">
        <f aca="false">IF(G2=0,"-",F2/G2)</f>
        <v>-</v>
      </c>
    </row>
    <row r="3" customFormat="false" ht="24" hidden="false" customHeight="true" outlineLevel="0" collapsed="false">
      <c r="A3" s="7" t="s">
        <v>28</v>
      </c>
      <c r="B3" s="8" t="n">
        <f aca="false">COUNTIF(Questions!$B$2:$B$43,A3)</f>
        <v>5</v>
      </c>
      <c r="C3" s="8" t="n">
        <f aca="false">COUNTIFS(Questions!$B$2:$B$43,A3,Questions!$N$2:$N$43,"Ready")</f>
        <v>0</v>
      </c>
      <c r="D3" s="8" t="n">
        <f aca="false">COUNTIFS(Questions!$B$2:$B$43,A3,Questions!$O$2:$O$43,"&lt;&gt;")</f>
        <v>0</v>
      </c>
      <c r="E3" s="8" t="n">
        <f aca="false">COUNTIFS(Questions!$B$2:$B$43,A3,Questions!$O$2:$O$43,"Pass")</f>
        <v>0</v>
      </c>
      <c r="F3" s="9" t="n">
        <f aca="false">SUMPRODUCT((Questions!$B$2:$B$43=A3)*(Questions!$O$2:$O$43&lt;&gt;"")*Questions!$H$2:$H$43*N(+Questions!$P$2:$P$43))</f>
        <v>0</v>
      </c>
      <c r="G3" s="8" t="n">
        <f aca="false">SUMPRODUCT((Questions!$B$2:$B$43=A3)*(Questions!$O$2:$O$43&lt;&gt;"")*Questions!$H$2:$H$43)</f>
        <v>0</v>
      </c>
      <c r="H3" s="10" t="str">
        <f aca="false">IF(G3=0,"-",F3/G3)</f>
        <v>-</v>
      </c>
    </row>
    <row r="4" customFormat="false" ht="24" hidden="false" customHeight="true" outlineLevel="0" collapsed="false">
      <c r="A4" s="7" t="s">
        <v>29</v>
      </c>
      <c r="B4" s="8" t="n">
        <f aca="false">COUNTIF(Questions!$B$2:$B$43,A4)</f>
        <v>6</v>
      </c>
      <c r="C4" s="8" t="n">
        <f aca="false">COUNTIFS(Questions!$B$2:$B$43,A4,Questions!$N$2:$N$43,"Ready")</f>
        <v>0</v>
      </c>
      <c r="D4" s="8" t="n">
        <f aca="false">COUNTIFS(Questions!$B$2:$B$43,A4,Questions!$O$2:$O$43,"&lt;&gt;")</f>
        <v>0</v>
      </c>
      <c r="E4" s="8" t="n">
        <f aca="false">COUNTIFS(Questions!$B$2:$B$43,A4,Questions!$O$2:$O$43,"Pass")</f>
        <v>0</v>
      </c>
      <c r="F4" s="9" t="n">
        <f aca="false">SUMPRODUCT((Questions!$B$2:$B$43=A4)*(Questions!$O$2:$O$43&lt;&gt;"")*Questions!$H$2:$H$43*N(+Questions!$P$2:$P$43))</f>
        <v>0</v>
      </c>
      <c r="G4" s="8" t="n">
        <f aca="false">SUMPRODUCT((Questions!$B$2:$B$43=A4)*(Questions!$O$2:$O$43&lt;&gt;"")*Questions!$H$2:$H$43)</f>
        <v>0</v>
      </c>
      <c r="H4" s="10" t="str">
        <f aca="false">IF(G4=0,"-",F4/G4)</f>
        <v>-</v>
      </c>
    </row>
    <row r="5" customFormat="false" ht="24" hidden="false" customHeight="true" outlineLevel="0" collapsed="false">
      <c r="A5" s="7" t="s">
        <v>30</v>
      </c>
      <c r="B5" s="8" t="n">
        <f aca="false">COUNTIF(Questions!$B$2:$B$43,A5)</f>
        <v>5</v>
      </c>
      <c r="C5" s="8" t="n">
        <f aca="false">COUNTIFS(Questions!$B$2:$B$43,A5,Questions!$N$2:$N$43,"Ready")</f>
        <v>0</v>
      </c>
      <c r="D5" s="8" t="n">
        <f aca="false">COUNTIFS(Questions!$B$2:$B$43,A5,Questions!$O$2:$O$43,"&lt;&gt;")</f>
        <v>0</v>
      </c>
      <c r="E5" s="8" t="n">
        <f aca="false">COUNTIFS(Questions!$B$2:$B$43,A5,Questions!$O$2:$O$43,"Pass")</f>
        <v>0</v>
      </c>
      <c r="F5" s="9" t="n">
        <f aca="false">SUMPRODUCT((Questions!$B$2:$B$43=A5)*(Questions!$O$2:$O$43&lt;&gt;"")*Questions!$H$2:$H$43*N(+Questions!$P$2:$P$43))</f>
        <v>0</v>
      </c>
      <c r="G5" s="8" t="n">
        <f aca="false">SUMPRODUCT((Questions!$B$2:$B$43=A5)*(Questions!$O$2:$O$43&lt;&gt;"")*Questions!$H$2:$H$43)</f>
        <v>0</v>
      </c>
      <c r="H5" s="10" t="str">
        <f aca="false">IF(G5=0,"-",F5/G5)</f>
        <v>-</v>
      </c>
    </row>
    <row r="6" customFormat="false" ht="24" hidden="false" customHeight="true" outlineLevel="0" collapsed="false">
      <c r="A6" s="7" t="s">
        <v>31</v>
      </c>
      <c r="B6" s="8" t="n">
        <f aca="false">COUNTIF(Questions!$B$2:$B$43,A6)</f>
        <v>4</v>
      </c>
      <c r="C6" s="8" t="n">
        <f aca="false">COUNTIFS(Questions!$B$2:$B$43,A6,Questions!$N$2:$N$43,"Ready")</f>
        <v>0</v>
      </c>
      <c r="D6" s="8" t="n">
        <f aca="false">COUNTIFS(Questions!$B$2:$B$43,A6,Questions!$O$2:$O$43,"&lt;&gt;")</f>
        <v>0</v>
      </c>
      <c r="E6" s="8" t="n">
        <f aca="false">COUNTIFS(Questions!$B$2:$B$43,A6,Questions!$O$2:$O$43,"Pass")</f>
        <v>0</v>
      </c>
      <c r="F6" s="9" t="n">
        <f aca="false">SUMPRODUCT((Questions!$B$2:$B$43=A6)*(Questions!$O$2:$O$43&lt;&gt;"")*Questions!$H$2:$H$43*N(+Questions!$P$2:$P$43))</f>
        <v>0</v>
      </c>
      <c r="G6" s="8" t="n">
        <f aca="false">SUMPRODUCT((Questions!$B$2:$B$43=A6)*(Questions!$O$2:$O$43&lt;&gt;"")*Questions!$H$2:$H$43)</f>
        <v>0</v>
      </c>
      <c r="H6" s="10" t="str">
        <f aca="false">IF(G6=0,"-",F6/G6)</f>
        <v>-</v>
      </c>
    </row>
    <row r="7" customFormat="false" ht="24" hidden="false" customHeight="true" outlineLevel="0" collapsed="false">
      <c r="A7" s="7" t="s">
        <v>32</v>
      </c>
      <c r="B7" s="8" t="n">
        <f aca="false">COUNTIF(Questions!$B$2:$B$43,A7)</f>
        <v>5</v>
      </c>
      <c r="C7" s="8" t="n">
        <f aca="false">COUNTIFS(Questions!$B$2:$B$43,A7,Questions!$N$2:$N$43,"Ready")</f>
        <v>0</v>
      </c>
      <c r="D7" s="8" t="n">
        <f aca="false">COUNTIFS(Questions!$B$2:$B$43,A7,Questions!$O$2:$O$43,"&lt;&gt;")</f>
        <v>0</v>
      </c>
      <c r="E7" s="8" t="n">
        <f aca="false">COUNTIFS(Questions!$B$2:$B$43,A7,Questions!$O$2:$O$43,"Pass")</f>
        <v>0</v>
      </c>
      <c r="F7" s="9" t="n">
        <f aca="false">SUMPRODUCT((Questions!$B$2:$B$43=A7)*(Questions!$O$2:$O$43&lt;&gt;"")*Questions!$H$2:$H$43*N(+Questions!$P$2:$P$43))</f>
        <v>0</v>
      </c>
      <c r="G7" s="8" t="n">
        <f aca="false">SUMPRODUCT((Questions!$B$2:$B$43=A7)*(Questions!$O$2:$O$43&lt;&gt;"")*Questions!$H$2:$H$43)</f>
        <v>0</v>
      </c>
      <c r="H7" s="10" t="str">
        <f aca="false">IF(G7=0,"-",F7/G7)</f>
        <v>-</v>
      </c>
    </row>
    <row r="8" customFormat="false" ht="24" hidden="false" customHeight="true" outlineLevel="0" collapsed="false">
      <c r="A8" s="7" t="s">
        <v>33</v>
      </c>
      <c r="B8" s="8" t="n">
        <f aca="false">COUNTIF(Questions!$B$2:$B$43,A8)</f>
        <v>3</v>
      </c>
      <c r="C8" s="8" t="n">
        <f aca="false">COUNTIFS(Questions!$B$2:$B$43,A8,Questions!$N$2:$N$43,"Ready")</f>
        <v>0</v>
      </c>
      <c r="D8" s="8" t="n">
        <f aca="false">COUNTIFS(Questions!$B$2:$B$43,A8,Questions!$O$2:$O$43,"&lt;&gt;")</f>
        <v>0</v>
      </c>
      <c r="E8" s="8" t="n">
        <f aca="false">COUNTIFS(Questions!$B$2:$B$43,A8,Questions!$O$2:$O$43,"Pass")</f>
        <v>0</v>
      </c>
      <c r="F8" s="9" t="n">
        <f aca="false">SUMPRODUCT((Questions!$B$2:$B$43=A8)*(Questions!$O$2:$O$43&lt;&gt;"")*Questions!$H$2:$H$43*N(+Questions!$P$2:$P$43))</f>
        <v>0</v>
      </c>
      <c r="G8" s="8" t="n">
        <f aca="false">SUMPRODUCT((Questions!$B$2:$B$43=A8)*(Questions!$O$2:$O$43&lt;&gt;"")*Questions!$H$2:$H$43)</f>
        <v>0</v>
      </c>
      <c r="H8" s="10" t="str">
        <f aca="false">IF(G8=0,"-",F8/G8)</f>
        <v>-</v>
      </c>
    </row>
    <row r="9" customFormat="false" ht="24" hidden="false" customHeight="true" outlineLevel="0" collapsed="false">
      <c r="A9" s="7" t="s">
        <v>34</v>
      </c>
      <c r="B9" s="8" t="n">
        <f aca="false">COUNTIF(Questions!$B$2:$B$43,A9)</f>
        <v>5</v>
      </c>
      <c r="C9" s="8" t="n">
        <f aca="false">COUNTIFS(Questions!$B$2:$B$43,A9,Questions!$N$2:$N$43,"Ready")</f>
        <v>0</v>
      </c>
      <c r="D9" s="8" t="n">
        <f aca="false">COUNTIFS(Questions!$B$2:$B$43,A9,Questions!$O$2:$O$43,"&lt;&gt;")</f>
        <v>0</v>
      </c>
      <c r="E9" s="8" t="n">
        <f aca="false">COUNTIFS(Questions!$B$2:$B$43,A9,Questions!$O$2:$O$43,"Pass")</f>
        <v>0</v>
      </c>
      <c r="F9" s="9" t="n">
        <f aca="false">SUMPRODUCT((Questions!$B$2:$B$43=A9)*(Questions!$O$2:$O$43&lt;&gt;"")*Questions!$H$2:$H$43*N(+Questions!$P$2:$P$43))</f>
        <v>0</v>
      </c>
      <c r="G9" s="8" t="n">
        <f aca="false">SUMPRODUCT((Questions!$B$2:$B$43=A9)*(Questions!$O$2:$O$43&lt;&gt;"")*Questions!$H$2:$H$43)</f>
        <v>0</v>
      </c>
      <c r="H9" s="10" t="str">
        <f aca="false">IF(G9=0,"-",F9/G9)</f>
        <v>-</v>
      </c>
    </row>
    <row r="10" customFormat="false" ht="24" hidden="false" customHeight="true" outlineLevel="0" collapsed="false">
      <c r="A10" s="7" t="s">
        <v>35</v>
      </c>
      <c r="B10" s="8" t="n">
        <f aca="false">COUNTIF(Questions!$B$2:$B$43,A10)</f>
        <v>3</v>
      </c>
      <c r="C10" s="8" t="n">
        <f aca="false">COUNTIFS(Questions!$B$2:$B$43,A10,Questions!$N$2:$N$43,"Ready")</f>
        <v>0</v>
      </c>
      <c r="D10" s="8" t="n">
        <f aca="false">COUNTIFS(Questions!$B$2:$B$43,A10,Questions!$O$2:$O$43,"&lt;&gt;")</f>
        <v>0</v>
      </c>
      <c r="E10" s="8" t="n">
        <f aca="false">COUNTIFS(Questions!$B$2:$B$43,A10,Questions!$O$2:$O$43,"Pass")</f>
        <v>0</v>
      </c>
      <c r="F10" s="9" t="n">
        <f aca="false">SUMPRODUCT((Questions!$B$2:$B$43=A10)*(Questions!$O$2:$O$43&lt;&gt;"")*Questions!$H$2:$H$43*N(+Questions!$P$2:$P$43))</f>
        <v>0</v>
      </c>
      <c r="G10" s="8" t="n">
        <f aca="false">SUMPRODUCT((Questions!$B$2:$B$43=A10)*(Questions!$O$2:$O$43&lt;&gt;"")*Questions!$H$2:$H$43)</f>
        <v>0</v>
      </c>
      <c r="H10" s="10" t="str">
        <f aca="false">IF(G10=0,"-",F10/G10)</f>
        <v>-</v>
      </c>
    </row>
    <row r="11" customFormat="false" ht="25.5" hidden="false" customHeight="true" outlineLevel="0" collapsed="false">
      <c r="A11" s="11" t="s">
        <v>36</v>
      </c>
      <c r="B11" s="12" t="n">
        <f aca="false">SUM(B2:B10)</f>
        <v>42</v>
      </c>
      <c r="C11" s="12" t="n">
        <f aca="false">SUM(C2:C10)</f>
        <v>0</v>
      </c>
      <c r="D11" s="12" t="n">
        <f aca="false">SUM(D2:D10)</f>
        <v>0</v>
      </c>
      <c r="E11" s="12" t="n">
        <f aca="false">SUM(E2:E10)</f>
        <v>0</v>
      </c>
      <c r="F11" s="13" t="n">
        <f aca="false">SUM(F2:F10)</f>
        <v>0</v>
      </c>
      <c r="G11" s="12" t="n">
        <f aca="false">SUM(G2:G10)</f>
        <v>0</v>
      </c>
      <c r="H11" s="14" t="str">
        <f aca="false">IF(G11=0,"-",F11/G11)</f>
        <v>-</v>
      </c>
    </row>
    <row r="13" customFormat="false" ht="15" hidden="false" customHeight="false" outlineLevel="0" collapsed="false">
      <c r="A13" s="15" t="s">
        <v>37</v>
      </c>
      <c r="B13" s="16" t="str">
        <f aca="false">H11</f>
        <v>-</v>
      </c>
    </row>
    <row r="14" customFormat="false" ht="15" hidden="false" customHeight="false" outlineLevel="0" collapsed="false">
      <c r="A14" s="17" t="s">
        <v>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4"/>
    <col collapsed="false" customWidth="true" hidden="false" outlineLevel="0" max="3" min="3" style="0" width="14"/>
    <col collapsed="false" customWidth="true" hidden="false" outlineLevel="0" max="4" min="4" style="0" width="50"/>
    <col collapsed="false" customWidth="true" hidden="false" outlineLevel="0" max="5" min="5" style="0" width="24"/>
    <col collapsed="false" customWidth="true" hidden="false" outlineLevel="0" max="6" min="6" style="0" width="44"/>
    <col collapsed="false" customWidth="true" hidden="false" outlineLevel="0" max="7" min="7" style="0" width="24"/>
    <col collapsed="false" customWidth="true" hidden="false" outlineLevel="0" max="8" min="8" style="0" width="8"/>
    <col collapsed="false" customWidth="true" hidden="false" outlineLevel="0" max="9" min="9" style="0" width="40"/>
    <col collapsed="false" customWidth="true" hidden="false" outlineLevel="0" max="10" min="10" style="0" width="34"/>
    <col collapsed="false" customWidth="true" hidden="false" outlineLevel="0" max="11" min="11" style="0" width="28"/>
    <col collapsed="false" customWidth="true" hidden="false" outlineLevel="0" max="12" min="12" style="0" width="18"/>
    <col collapsed="false" customWidth="true" hidden="false" outlineLevel="0" max="13" min="13" style="0" width="12"/>
    <col collapsed="false" customWidth="true" hidden="false" outlineLevel="0" max="14" min="14" style="0" width="11"/>
    <col collapsed="false" customWidth="true" hidden="false" outlineLevel="0" max="15" min="15" style="0" width="12"/>
    <col collapsed="false" customWidth="true" hidden="false" outlineLevel="0" max="16" min="16" style="0" width="8"/>
    <col collapsed="false" customWidth="true" hidden="false" outlineLevel="0" max="17" min="17" style="0" width="30"/>
  </cols>
  <sheetData>
    <row r="1" customFormat="false" ht="31.5" hidden="false" customHeight="true" outlineLevel="0" collapsed="false">
      <c r="A1" s="6" t="s">
        <v>39</v>
      </c>
      <c r="B1" s="6" t="s">
        <v>19</v>
      </c>
      <c r="C1" s="6" t="s">
        <v>40</v>
      </c>
      <c r="D1" s="6" t="s">
        <v>41</v>
      </c>
      <c r="E1" s="6" t="s">
        <v>42</v>
      </c>
      <c r="F1" s="6" t="s">
        <v>43</v>
      </c>
      <c r="G1" s="6" t="s">
        <v>44</v>
      </c>
      <c r="H1" s="6" t="s">
        <v>45</v>
      </c>
      <c r="I1" s="6" t="s">
        <v>46</v>
      </c>
      <c r="J1" s="6" t="s">
        <v>47</v>
      </c>
      <c r="K1" s="6" t="s">
        <v>48</v>
      </c>
      <c r="L1" s="6" t="s">
        <v>49</v>
      </c>
      <c r="M1" s="6" t="s">
        <v>50</v>
      </c>
      <c r="N1" s="6" t="s">
        <v>51</v>
      </c>
      <c r="O1" s="6" t="s">
        <v>52</v>
      </c>
      <c r="P1" s="6" t="s">
        <v>53</v>
      </c>
      <c r="Q1" s="6" t="s">
        <v>54</v>
      </c>
    </row>
    <row r="2" customFormat="false" ht="43.5" hidden="false" customHeight="true" outlineLevel="0" collapsed="false">
      <c r="A2" s="18" t="s">
        <v>55</v>
      </c>
      <c r="B2" s="18" t="s">
        <v>27</v>
      </c>
      <c r="C2" s="18" t="s">
        <v>56</v>
      </c>
      <c r="D2" s="18" t="s">
        <v>57</v>
      </c>
      <c r="E2" s="18"/>
      <c r="F2" s="18" t="s">
        <v>58</v>
      </c>
      <c r="G2" s="18"/>
      <c r="H2" s="8" t="n">
        <v>1</v>
      </c>
      <c r="I2" s="19"/>
      <c r="J2" s="19"/>
      <c r="K2" s="19"/>
      <c r="L2" s="19" t="s">
        <v>59</v>
      </c>
      <c r="M2" s="19"/>
      <c r="N2" s="19" t="s">
        <v>60</v>
      </c>
      <c r="O2" s="19"/>
      <c r="P2" s="8" t="str">
        <f aca="false">IF(O2="Pass",1,IF(O2="Partial",0.5,IF(O2="Fail",0,"")))</f>
        <v/>
      </c>
      <c r="Q2" s="18"/>
    </row>
    <row r="3" customFormat="false" ht="43.5" hidden="false" customHeight="true" outlineLevel="0" collapsed="false">
      <c r="A3" s="18" t="s">
        <v>61</v>
      </c>
      <c r="B3" s="18" t="s">
        <v>27</v>
      </c>
      <c r="C3" s="18" t="s">
        <v>56</v>
      </c>
      <c r="D3" s="18" t="s">
        <v>62</v>
      </c>
      <c r="E3" s="18"/>
      <c r="F3" s="18" t="s">
        <v>63</v>
      </c>
      <c r="G3" s="18"/>
      <c r="H3" s="8" t="n">
        <v>1</v>
      </c>
      <c r="I3" s="19"/>
      <c r="J3" s="19"/>
      <c r="K3" s="19"/>
      <c r="L3" s="19" t="s">
        <v>59</v>
      </c>
      <c r="M3" s="19"/>
      <c r="N3" s="19" t="s">
        <v>60</v>
      </c>
      <c r="O3" s="19"/>
      <c r="P3" s="8" t="str">
        <f aca="false">IF(O3="Pass",1,IF(O3="Partial",0.5,IF(O3="Fail",0,"")))</f>
        <v/>
      </c>
      <c r="Q3" s="18"/>
    </row>
    <row r="4" customFormat="false" ht="43.5" hidden="false" customHeight="true" outlineLevel="0" collapsed="false">
      <c r="A4" s="18" t="s">
        <v>64</v>
      </c>
      <c r="B4" s="18" t="s">
        <v>27</v>
      </c>
      <c r="C4" s="18" t="s">
        <v>56</v>
      </c>
      <c r="D4" s="18" t="s">
        <v>65</v>
      </c>
      <c r="E4" s="18"/>
      <c r="F4" s="18" t="s">
        <v>66</v>
      </c>
      <c r="G4" s="18"/>
      <c r="H4" s="8" t="n">
        <v>1</v>
      </c>
      <c r="I4" s="19"/>
      <c r="J4" s="19"/>
      <c r="K4" s="19"/>
      <c r="L4" s="19" t="s">
        <v>59</v>
      </c>
      <c r="M4" s="19"/>
      <c r="N4" s="19" t="s">
        <v>60</v>
      </c>
      <c r="O4" s="19"/>
      <c r="P4" s="8" t="str">
        <f aca="false">IF(O4="Pass",1,IF(O4="Partial",0.5,IF(O4="Fail",0,"")))</f>
        <v/>
      </c>
      <c r="Q4" s="18"/>
    </row>
    <row r="5" customFormat="false" ht="43.5" hidden="false" customHeight="true" outlineLevel="0" collapsed="false">
      <c r="A5" s="18" t="s">
        <v>67</v>
      </c>
      <c r="B5" s="18" t="s">
        <v>27</v>
      </c>
      <c r="C5" s="18" t="s">
        <v>56</v>
      </c>
      <c r="D5" s="18" t="s">
        <v>68</v>
      </c>
      <c r="E5" s="18"/>
      <c r="F5" s="18" t="s">
        <v>69</v>
      </c>
      <c r="G5" s="18"/>
      <c r="H5" s="8" t="n">
        <v>1</v>
      </c>
      <c r="I5" s="19"/>
      <c r="J5" s="19"/>
      <c r="K5" s="19"/>
      <c r="L5" s="19" t="s">
        <v>59</v>
      </c>
      <c r="M5" s="19"/>
      <c r="N5" s="19" t="s">
        <v>60</v>
      </c>
      <c r="O5" s="19"/>
      <c r="P5" s="8" t="str">
        <f aca="false">IF(O5="Pass",1,IF(O5="Partial",0.5,IF(O5="Fail",0,"")))</f>
        <v/>
      </c>
      <c r="Q5" s="18"/>
    </row>
    <row r="6" customFormat="false" ht="43.5" hidden="false" customHeight="true" outlineLevel="0" collapsed="false">
      <c r="A6" s="18" t="s">
        <v>70</v>
      </c>
      <c r="B6" s="18" t="s">
        <v>27</v>
      </c>
      <c r="C6" s="18" t="s">
        <v>56</v>
      </c>
      <c r="D6" s="18" t="s">
        <v>71</v>
      </c>
      <c r="E6" s="18"/>
      <c r="F6" s="18" t="s">
        <v>72</v>
      </c>
      <c r="G6" s="18"/>
      <c r="H6" s="8" t="n">
        <v>1</v>
      </c>
      <c r="I6" s="19"/>
      <c r="J6" s="19"/>
      <c r="K6" s="19"/>
      <c r="L6" s="19" t="s">
        <v>59</v>
      </c>
      <c r="M6" s="19"/>
      <c r="N6" s="19" t="s">
        <v>60</v>
      </c>
      <c r="O6" s="19"/>
      <c r="P6" s="8" t="str">
        <f aca="false">IF(O6="Pass",1,IF(O6="Partial",0.5,IF(O6="Fail",0,"")))</f>
        <v/>
      </c>
      <c r="Q6" s="18"/>
    </row>
    <row r="7" customFormat="false" ht="43.5" hidden="false" customHeight="true" outlineLevel="0" collapsed="false">
      <c r="A7" s="18" t="s">
        <v>73</v>
      </c>
      <c r="B7" s="18" t="s">
        <v>27</v>
      </c>
      <c r="C7" s="18" t="s">
        <v>56</v>
      </c>
      <c r="D7" s="18" t="s">
        <v>74</v>
      </c>
      <c r="E7" s="18"/>
      <c r="F7" s="18" t="s">
        <v>75</v>
      </c>
      <c r="G7" s="18"/>
      <c r="H7" s="8" t="n">
        <v>1</v>
      </c>
      <c r="I7" s="19"/>
      <c r="J7" s="19"/>
      <c r="K7" s="19"/>
      <c r="L7" s="19" t="s">
        <v>59</v>
      </c>
      <c r="M7" s="19"/>
      <c r="N7" s="19" t="s">
        <v>60</v>
      </c>
      <c r="O7" s="19"/>
      <c r="P7" s="8" t="str">
        <f aca="false">IF(O7="Pass",1,IF(O7="Partial",0.5,IF(O7="Fail",0,"")))</f>
        <v/>
      </c>
      <c r="Q7" s="18"/>
    </row>
    <row r="8" customFormat="false" ht="43.5" hidden="false" customHeight="true" outlineLevel="0" collapsed="false">
      <c r="A8" s="18" t="s">
        <v>76</v>
      </c>
      <c r="B8" s="18" t="s">
        <v>28</v>
      </c>
      <c r="C8" s="18" t="s">
        <v>56</v>
      </c>
      <c r="D8" s="18" t="s">
        <v>77</v>
      </c>
      <c r="E8" s="18"/>
      <c r="F8" s="18" t="s">
        <v>78</v>
      </c>
      <c r="G8" s="18"/>
      <c r="H8" s="8" t="n">
        <v>1</v>
      </c>
      <c r="I8" s="19"/>
      <c r="J8" s="19"/>
      <c r="K8" s="19"/>
      <c r="L8" s="19" t="s">
        <v>59</v>
      </c>
      <c r="M8" s="19"/>
      <c r="N8" s="19" t="s">
        <v>60</v>
      </c>
      <c r="O8" s="19"/>
      <c r="P8" s="8" t="str">
        <f aca="false">IF(O8="Pass",1,IF(O8="Partial",0.5,IF(O8="Fail",0,"")))</f>
        <v/>
      </c>
      <c r="Q8" s="18"/>
    </row>
    <row r="9" customFormat="false" ht="43.5" hidden="false" customHeight="true" outlineLevel="0" collapsed="false">
      <c r="A9" s="18" t="s">
        <v>79</v>
      </c>
      <c r="B9" s="18" t="s">
        <v>28</v>
      </c>
      <c r="C9" s="18" t="s">
        <v>56</v>
      </c>
      <c r="D9" s="18" t="s">
        <v>80</v>
      </c>
      <c r="E9" s="18"/>
      <c r="F9" s="18" t="s">
        <v>81</v>
      </c>
      <c r="G9" s="18"/>
      <c r="H9" s="8" t="n">
        <v>1</v>
      </c>
      <c r="I9" s="19"/>
      <c r="J9" s="19"/>
      <c r="K9" s="19"/>
      <c r="L9" s="19" t="s">
        <v>59</v>
      </c>
      <c r="M9" s="19"/>
      <c r="N9" s="19" t="s">
        <v>60</v>
      </c>
      <c r="O9" s="19"/>
      <c r="P9" s="8" t="str">
        <f aca="false">IF(O9="Pass",1,IF(O9="Partial",0.5,IF(O9="Fail",0,"")))</f>
        <v/>
      </c>
      <c r="Q9" s="18"/>
    </row>
    <row r="10" customFormat="false" ht="43.5" hidden="false" customHeight="true" outlineLevel="0" collapsed="false">
      <c r="A10" s="18" t="s">
        <v>82</v>
      </c>
      <c r="B10" s="18" t="s">
        <v>28</v>
      </c>
      <c r="C10" s="18" t="s">
        <v>56</v>
      </c>
      <c r="D10" s="18" t="s">
        <v>83</v>
      </c>
      <c r="E10" s="18"/>
      <c r="F10" s="18" t="s">
        <v>84</v>
      </c>
      <c r="G10" s="18"/>
      <c r="H10" s="8" t="n">
        <v>1</v>
      </c>
      <c r="I10" s="19"/>
      <c r="J10" s="19"/>
      <c r="K10" s="19"/>
      <c r="L10" s="19" t="s">
        <v>59</v>
      </c>
      <c r="M10" s="19"/>
      <c r="N10" s="19" t="s">
        <v>60</v>
      </c>
      <c r="O10" s="19"/>
      <c r="P10" s="8" t="str">
        <f aca="false">IF(O10="Pass",1,IF(O10="Partial",0.5,IF(O10="Fail",0,"")))</f>
        <v/>
      </c>
      <c r="Q10" s="18"/>
    </row>
    <row r="11" customFormat="false" ht="43.5" hidden="false" customHeight="true" outlineLevel="0" collapsed="false">
      <c r="A11" s="18" t="s">
        <v>85</v>
      </c>
      <c r="B11" s="18" t="s">
        <v>28</v>
      </c>
      <c r="C11" s="18" t="s">
        <v>56</v>
      </c>
      <c r="D11" s="18" t="s">
        <v>86</v>
      </c>
      <c r="E11" s="18"/>
      <c r="F11" s="18" t="s">
        <v>87</v>
      </c>
      <c r="G11" s="18"/>
      <c r="H11" s="8" t="n">
        <v>1</v>
      </c>
      <c r="I11" s="19"/>
      <c r="J11" s="19"/>
      <c r="K11" s="19"/>
      <c r="L11" s="19" t="s">
        <v>59</v>
      </c>
      <c r="M11" s="19"/>
      <c r="N11" s="19" t="s">
        <v>60</v>
      </c>
      <c r="O11" s="19"/>
      <c r="P11" s="8" t="str">
        <f aca="false">IF(O11="Pass",1,IF(O11="Partial",0.5,IF(O11="Fail",0,"")))</f>
        <v/>
      </c>
      <c r="Q11" s="18"/>
    </row>
    <row r="12" customFormat="false" ht="43.5" hidden="false" customHeight="true" outlineLevel="0" collapsed="false">
      <c r="A12" s="18" t="s">
        <v>88</v>
      </c>
      <c r="B12" s="18" t="s">
        <v>28</v>
      </c>
      <c r="C12" s="18" t="s">
        <v>56</v>
      </c>
      <c r="D12" s="18" t="s">
        <v>89</v>
      </c>
      <c r="E12" s="18"/>
      <c r="F12" s="18" t="s">
        <v>90</v>
      </c>
      <c r="G12" s="18"/>
      <c r="H12" s="8" t="n">
        <v>1</v>
      </c>
      <c r="I12" s="19"/>
      <c r="J12" s="19"/>
      <c r="K12" s="19"/>
      <c r="L12" s="19" t="s">
        <v>59</v>
      </c>
      <c r="M12" s="19"/>
      <c r="N12" s="19" t="s">
        <v>60</v>
      </c>
      <c r="O12" s="19"/>
      <c r="P12" s="8" t="str">
        <f aca="false">IF(O12="Pass",1,IF(O12="Partial",0.5,IF(O12="Fail",0,"")))</f>
        <v/>
      </c>
      <c r="Q12" s="18"/>
    </row>
    <row r="13" customFormat="false" ht="43.5" hidden="false" customHeight="true" outlineLevel="0" collapsed="false">
      <c r="A13" s="18" t="s">
        <v>91</v>
      </c>
      <c r="B13" s="18" t="s">
        <v>29</v>
      </c>
      <c r="C13" s="18" t="s">
        <v>92</v>
      </c>
      <c r="D13" s="18" t="s">
        <v>93</v>
      </c>
      <c r="E13" s="18"/>
      <c r="F13" s="18" t="s">
        <v>94</v>
      </c>
      <c r="G13" s="18"/>
      <c r="H13" s="8" t="n">
        <v>1</v>
      </c>
      <c r="I13" s="19"/>
      <c r="J13" s="19"/>
      <c r="K13" s="19"/>
      <c r="L13" s="19" t="s">
        <v>59</v>
      </c>
      <c r="M13" s="19"/>
      <c r="N13" s="19" t="s">
        <v>60</v>
      </c>
      <c r="O13" s="19"/>
      <c r="P13" s="8" t="str">
        <f aca="false">IF(O13="Pass",1,IF(O13="Partial",0.5,IF(O13="Fail",0,"")))</f>
        <v/>
      </c>
      <c r="Q13" s="18"/>
    </row>
    <row r="14" customFormat="false" ht="43.5" hidden="false" customHeight="true" outlineLevel="0" collapsed="false">
      <c r="A14" s="18" t="s">
        <v>95</v>
      </c>
      <c r="B14" s="18" t="s">
        <v>29</v>
      </c>
      <c r="C14" s="18" t="s">
        <v>92</v>
      </c>
      <c r="D14" s="18" t="s">
        <v>96</v>
      </c>
      <c r="E14" s="18"/>
      <c r="F14" s="18" t="s">
        <v>97</v>
      </c>
      <c r="G14" s="18"/>
      <c r="H14" s="8" t="n">
        <v>1</v>
      </c>
      <c r="I14" s="19"/>
      <c r="J14" s="19"/>
      <c r="K14" s="19"/>
      <c r="L14" s="19" t="s">
        <v>59</v>
      </c>
      <c r="M14" s="19"/>
      <c r="N14" s="19" t="s">
        <v>60</v>
      </c>
      <c r="O14" s="19"/>
      <c r="P14" s="8" t="str">
        <f aca="false">IF(O14="Pass",1,IF(O14="Partial",0.5,IF(O14="Fail",0,"")))</f>
        <v/>
      </c>
      <c r="Q14" s="18"/>
    </row>
    <row r="15" customFormat="false" ht="43.5" hidden="false" customHeight="true" outlineLevel="0" collapsed="false">
      <c r="A15" s="18" t="s">
        <v>98</v>
      </c>
      <c r="B15" s="18" t="s">
        <v>29</v>
      </c>
      <c r="C15" s="18" t="s">
        <v>92</v>
      </c>
      <c r="D15" s="18" t="s">
        <v>99</v>
      </c>
      <c r="E15" s="18"/>
      <c r="F15" s="18" t="s">
        <v>100</v>
      </c>
      <c r="G15" s="18"/>
      <c r="H15" s="8" t="n">
        <v>1</v>
      </c>
      <c r="I15" s="19"/>
      <c r="J15" s="19"/>
      <c r="K15" s="19"/>
      <c r="L15" s="19" t="s">
        <v>59</v>
      </c>
      <c r="M15" s="19"/>
      <c r="N15" s="19" t="s">
        <v>60</v>
      </c>
      <c r="O15" s="19"/>
      <c r="P15" s="8" t="str">
        <f aca="false">IF(O15="Pass",1,IF(O15="Partial",0.5,IF(O15="Fail",0,"")))</f>
        <v/>
      </c>
      <c r="Q15" s="18"/>
    </row>
    <row r="16" customFormat="false" ht="43.5" hidden="false" customHeight="true" outlineLevel="0" collapsed="false">
      <c r="A16" s="18" t="s">
        <v>101</v>
      </c>
      <c r="B16" s="18" t="s">
        <v>29</v>
      </c>
      <c r="C16" s="18" t="s">
        <v>92</v>
      </c>
      <c r="D16" s="18" t="s">
        <v>102</v>
      </c>
      <c r="E16" s="18"/>
      <c r="F16" s="18" t="s">
        <v>103</v>
      </c>
      <c r="G16" s="18"/>
      <c r="H16" s="8" t="n">
        <v>1</v>
      </c>
      <c r="I16" s="19"/>
      <c r="J16" s="19"/>
      <c r="K16" s="19"/>
      <c r="L16" s="19" t="s">
        <v>59</v>
      </c>
      <c r="M16" s="19"/>
      <c r="N16" s="19" t="s">
        <v>60</v>
      </c>
      <c r="O16" s="19"/>
      <c r="P16" s="8" t="str">
        <f aca="false">IF(O16="Pass",1,IF(O16="Partial",0.5,IF(O16="Fail",0,"")))</f>
        <v/>
      </c>
      <c r="Q16" s="18"/>
    </row>
    <row r="17" customFormat="false" ht="43.5" hidden="false" customHeight="true" outlineLevel="0" collapsed="false">
      <c r="A17" s="18" t="s">
        <v>104</v>
      </c>
      <c r="B17" s="18" t="s">
        <v>29</v>
      </c>
      <c r="C17" s="18" t="s">
        <v>92</v>
      </c>
      <c r="D17" s="18" t="s">
        <v>105</v>
      </c>
      <c r="E17" s="18"/>
      <c r="F17" s="18" t="s">
        <v>106</v>
      </c>
      <c r="G17" s="18"/>
      <c r="H17" s="8" t="n">
        <v>1</v>
      </c>
      <c r="I17" s="19"/>
      <c r="J17" s="19"/>
      <c r="K17" s="19"/>
      <c r="L17" s="19" t="s">
        <v>59</v>
      </c>
      <c r="M17" s="19"/>
      <c r="N17" s="19" t="s">
        <v>60</v>
      </c>
      <c r="O17" s="19"/>
      <c r="P17" s="8" t="str">
        <f aca="false">IF(O17="Pass",1,IF(O17="Partial",0.5,IF(O17="Fail",0,"")))</f>
        <v/>
      </c>
      <c r="Q17" s="18"/>
    </row>
    <row r="18" customFormat="false" ht="43.5" hidden="false" customHeight="true" outlineLevel="0" collapsed="false">
      <c r="A18" s="18" t="s">
        <v>107</v>
      </c>
      <c r="B18" s="18" t="s">
        <v>29</v>
      </c>
      <c r="C18" s="18" t="s">
        <v>92</v>
      </c>
      <c r="D18" s="18" t="s">
        <v>108</v>
      </c>
      <c r="E18" s="18"/>
      <c r="F18" s="18" t="s">
        <v>109</v>
      </c>
      <c r="G18" s="18"/>
      <c r="H18" s="8" t="n">
        <v>1</v>
      </c>
      <c r="I18" s="19"/>
      <c r="J18" s="19"/>
      <c r="K18" s="19"/>
      <c r="L18" s="19" t="s">
        <v>59</v>
      </c>
      <c r="M18" s="19"/>
      <c r="N18" s="19" t="s">
        <v>60</v>
      </c>
      <c r="O18" s="19"/>
      <c r="P18" s="8" t="str">
        <f aca="false">IF(O18="Pass",1,IF(O18="Partial",0.5,IF(O18="Fail",0,"")))</f>
        <v/>
      </c>
      <c r="Q18" s="18"/>
    </row>
    <row r="19" customFormat="false" ht="43.5" hidden="false" customHeight="true" outlineLevel="0" collapsed="false">
      <c r="A19" s="18" t="s">
        <v>110</v>
      </c>
      <c r="B19" s="18" t="s">
        <v>30</v>
      </c>
      <c r="C19" s="18" t="s">
        <v>111</v>
      </c>
      <c r="D19" s="18" t="s">
        <v>112</v>
      </c>
      <c r="E19" s="18" t="s">
        <v>113</v>
      </c>
      <c r="F19" s="18" t="s">
        <v>114</v>
      </c>
      <c r="G19" s="18"/>
      <c r="H19" s="8" t="n">
        <v>1</v>
      </c>
      <c r="I19" s="19"/>
      <c r="J19" s="19"/>
      <c r="K19" s="19"/>
      <c r="L19" s="19"/>
      <c r="M19" s="19"/>
      <c r="N19" s="19" t="s">
        <v>60</v>
      </c>
      <c r="O19" s="19"/>
      <c r="P19" s="8" t="str">
        <f aca="false">IF(O19="Pass",1,IF(O19="Partial",0.5,IF(O19="Fail",0,"")))</f>
        <v/>
      </c>
      <c r="Q19" s="18"/>
    </row>
    <row r="20" customFormat="false" ht="43.5" hidden="false" customHeight="true" outlineLevel="0" collapsed="false">
      <c r="A20" s="18" t="s">
        <v>115</v>
      </c>
      <c r="B20" s="18" t="s">
        <v>30</v>
      </c>
      <c r="C20" s="18" t="s">
        <v>111</v>
      </c>
      <c r="D20" s="18" t="s">
        <v>116</v>
      </c>
      <c r="E20" s="18" t="s">
        <v>113</v>
      </c>
      <c r="F20" s="18" t="s">
        <v>117</v>
      </c>
      <c r="G20" s="18"/>
      <c r="H20" s="8" t="n">
        <v>1</v>
      </c>
      <c r="I20" s="19"/>
      <c r="J20" s="19"/>
      <c r="K20" s="19"/>
      <c r="L20" s="19"/>
      <c r="M20" s="19"/>
      <c r="N20" s="19" t="s">
        <v>60</v>
      </c>
      <c r="O20" s="19"/>
      <c r="P20" s="8" t="str">
        <f aca="false">IF(O20="Pass",1,IF(O20="Partial",0.5,IF(O20="Fail",0,"")))</f>
        <v/>
      </c>
      <c r="Q20" s="18"/>
    </row>
    <row r="21" customFormat="false" ht="43.5" hidden="false" customHeight="true" outlineLevel="0" collapsed="false">
      <c r="A21" s="18" t="s">
        <v>118</v>
      </c>
      <c r="B21" s="18" t="s">
        <v>30</v>
      </c>
      <c r="C21" s="18" t="s">
        <v>111</v>
      </c>
      <c r="D21" s="18" t="s">
        <v>119</v>
      </c>
      <c r="E21" s="18" t="s">
        <v>113</v>
      </c>
      <c r="F21" s="18" t="s">
        <v>120</v>
      </c>
      <c r="G21" s="18"/>
      <c r="H21" s="8" t="n">
        <v>1</v>
      </c>
      <c r="I21" s="19"/>
      <c r="J21" s="19"/>
      <c r="K21" s="19"/>
      <c r="L21" s="19"/>
      <c r="M21" s="19"/>
      <c r="N21" s="19" t="s">
        <v>60</v>
      </c>
      <c r="O21" s="19"/>
      <c r="P21" s="8" t="str">
        <f aca="false">IF(O21="Pass",1,IF(O21="Partial",0.5,IF(O21="Fail",0,"")))</f>
        <v/>
      </c>
      <c r="Q21" s="18"/>
    </row>
    <row r="22" customFormat="false" ht="43.5" hidden="false" customHeight="true" outlineLevel="0" collapsed="false">
      <c r="A22" s="18" t="s">
        <v>121</v>
      </c>
      <c r="B22" s="18" t="s">
        <v>30</v>
      </c>
      <c r="C22" s="18" t="s">
        <v>111</v>
      </c>
      <c r="D22" s="18" t="s">
        <v>122</v>
      </c>
      <c r="E22" s="18" t="s">
        <v>123</v>
      </c>
      <c r="F22" s="18" t="s">
        <v>124</v>
      </c>
      <c r="G22" s="18"/>
      <c r="H22" s="8" t="n">
        <v>1</v>
      </c>
      <c r="I22" s="19"/>
      <c r="J22" s="19"/>
      <c r="K22" s="19"/>
      <c r="L22" s="19"/>
      <c r="M22" s="19"/>
      <c r="N22" s="19" t="s">
        <v>60</v>
      </c>
      <c r="O22" s="19"/>
      <c r="P22" s="8" t="str">
        <f aca="false">IF(O22="Pass",1,IF(O22="Partial",0.5,IF(O22="Fail",0,"")))</f>
        <v/>
      </c>
      <c r="Q22" s="18"/>
    </row>
    <row r="23" customFormat="false" ht="43.5" hidden="false" customHeight="true" outlineLevel="0" collapsed="false">
      <c r="A23" s="18" t="s">
        <v>125</v>
      </c>
      <c r="B23" s="18" t="s">
        <v>30</v>
      </c>
      <c r="C23" s="18" t="s">
        <v>111</v>
      </c>
      <c r="D23" s="18" t="s">
        <v>126</v>
      </c>
      <c r="E23" s="18" t="s">
        <v>127</v>
      </c>
      <c r="F23" s="18" t="s">
        <v>128</v>
      </c>
      <c r="G23" s="18"/>
      <c r="H23" s="8" t="n">
        <v>1</v>
      </c>
      <c r="I23" s="19"/>
      <c r="J23" s="19"/>
      <c r="K23" s="19"/>
      <c r="L23" s="19"/>
      <c r="M23" s="19"/>
      <c r="N23" s="19" t="s">
        <v>60</v>
      </c>
      <c r="O23" s="19"/>
      <c r="P23" s="8" t="str">
        <f aca="false">IF(O23="Pass",1,IF(O23="Partial",0.5,IF(O23="Fail",0,"")))</f>
        <v/>
      </c>
      <c r="Q23" s="18"/>
    </row>
    <row r="24" customFormat="false" ht="43.5" hidden="false" customHeight="true" outlineLevel="0" collapsed="false">
      <c r="A24" s="18" t="s">
        <v>129</v>
      </c>
      <c r="B24" s="18" t="s">
        <v>31</v>
      </c>
      <c r="C24" s="18" t="s">
        <v>130</v>
      </c>
      <c r="D24" s="18" t="s">
        <v>131</v>
      </c>
      <c r="E24" s="18" t="s">
        <v>132</v>
      </c>
      <c r="F24" s="18" t="s">
        <v>133</v>
      </c>
      <c r="G24" s="18"/>
      <c r="H24" s="8" t="n">
        <v>1</v>
      </c>
      <c r="I24" s="19"/>
      <c r="J24" s="19"/>
      <c r="K24" s="19"/>
      <c r="L24" s="19" t="s">
        <v>59</v>
      </c>
      <c r="M24" s="19"/>
      <c r="N24" s="19" t="s">
        <v>60</v>
      </c>
      <c r="O24" s="19"/>
      <c r="P24" s="8" t="str">
        <f aca="false">IF(O24="Pass",1,IF(O24="Partial",0.5,IF(O24="Fail",0,"")))</f>
        <v/>
      </c>
      <c r="Q24" s="18"/>
    </row>
    <row r="25" customFormat="false" ht="43.5" hidden="false" customHeight="true" outlineLevel="0" collapsed="false">
      <c r="A25" s="18" t="s">
        <v>134</v>
      </c>
      <c r="B25" s="18" t="s">
        <v>31</v>
      </c>
      <c r="C25" s="18" t="s">
        <v>130</v>
      </c>
      <c r="D25" s="18" t="s">
        <v>135</v>
      </c>
      <c r="E25" s="18" t="s">
        <v>136</v>
      </c>
      <c r="F25" s="18" t="s">
        <v>137</v>
      </c>
      <c r="G25" s="18"/>
      <c r="H25" s="8" t="n">
        <v>1</v>
      </c>
      <c r="I25" s="19"/>
      <c r="J25" s="19"/>
      <c r="K25" s="19"/>
      <c r="L25" s="19" t="s">
        <v>59</v>
      </c>
      <c r="M25" s="19"/>
      <c r="N25" s="19" t="s">
        <v>60</v>
      </c>
      <c r="O25" s="19"/>
      <c r="P25" s="8" t="str">
        <f aca="false">IF(O25="Pass",1,IF(O25="Partial",0.5,IF(O25="Fail",0,"")))</f>
        <v/>
      </c>
      <c r="Q25" s="18"/>
    </row>
    <row r="26" customFormat="false" ht="43.5" hidden="false" customHeight="true" outlineLevel="0" collapsed="false">
      <c r="A26" s="18" t="s">
        <v>138</v>
      </c>
      <c r="B26" s="18" t="s">
        <v>31</v>
      </c>
      <c r="C26" s="18" t="s">
        <v>130</v>
      </c>
      <c r="D26" s="18" t="s">
        <v>139</v>
      </c>
      <c r="E26" s="18" t="s">
        <v>140</v>
      </c>
      <c r="F26" s="18" t="s">
        <v>141</v>
      </c>
      <c r="G26" s="18"/>
      <c r="H26" s="8" t="n">
        <v>1</v>
      </c>
      <c r="I26" s="19"/>
      <c r="J26" s="19"/>
      <c r="K26" s="19"/>
      <c r="L26" s="19" t="s">
        <v>59</v>
      </c>
      <c r="M26" s="19"/>
      <c r="N26" s="19" t="s">
        <v>60</v>
      </c>
      <c r="O26" s="19"/>
      <c r="P26" s="8" t="str">
        <f aca="false">IF(O26="Pass",1,IF(O26="Partial",0.5,IF(O26="Fail",0,"")))</f>
        <v/>
      </c>
      <c r="Q26" s="18"/>
    </row>
    <row r="27" customFormat="false" ht="43.5" hidden="false" customHeight="true" outlineLevel="0" collapsed="false">
      <c r="A27" s="18" t="s">
        <v>142</v>
      </c>
      <c r="B27" s="18" t="s">
        <v>31</v>
      </c>
      <c r="C27" s="18" t="s">
        <v>130</v>
      </c>
      <c r="D27" s="18" t="s">
        <v>143</v>
      </c>
      <c r="E27" s="18" t="s">
        <v>144</v>
      </c>
      <c r="F27" s="18" t="s">
        <v>145</v>
      </c>
      <c r="G27" s="18" t="s">
        <v>146</v>
      </c>
      <c r="H27" s="8" t="n">
        <v>1</v>
      </c>
      <c r="I27" s="19"/>
      <c r="J27" s="19"/>
      <c r="K27" s="19"/>
      <c r="L27" s="19" t="s">
        <v>59</v>
      </c>
      <c r="M27" s="19"/>
      <c r="N27" s="19" t="s">
        <v>60</v>
      </c>
      <c r="O27" s="19"/>
      <c r="P27" s="8" t="str">
        <f aca="false">IF(O27="Pass",1,IF(O27="Partial",0.5,IF(O27="Fail",0,"")))</f>
        <v/>
      </c>
      <c r="Q27" s="18"/>
    </row>
    <row r="28" customFormat="false" ht="43.5" hidden="false" customHeight="true" outlineLevel="0" collapsed="false">
      <c r="A28" s="18" t="s">
        <v>147</v>
      </c>
      <c r="B28" s="18" t="s">
        <v>32</v>
      </c>
      <c r="C28" s="18" t="s">
        <v>148</v>
      </c>
      <c r="D28" s="18" t="s">
        <v>149</v>
      </c>
      <c r="E28" s="18"/>
      <c r="F28" s="18" t="s">
        <v>150</v>
      </c>
      <c r="G28" s="18" t="s">
        <v>151</v>
      </c>
      <c r="H28" s="8" t="n">
        <v>2</v>
      </c>
      <c r="I28" s="19"/>
      <c r="J28" s="19"/>
      <c r="K28" s="19"/>
      <c r="L28" s="19" t="s">
        <v>59</v>
      </c>
      <c r="M28" s="19"/>
      <c r="N28" s="19" t="s">
        <v>60</v>
      </c>
      <c r="O28" s="19"/>
      <c r="P28" s="8" t="str">
        <f aca="false">IF(O28="Pass",1,IF(O28="Partial",0.5,IF(O28="Fail",0,"")))</f>
        <v/>
      </c>
      <c r="Q28" s="18"/>
    </row>
    <row r="29" customFormat="false" ht="43.5" hidden="false" customHeight="true" outlineLevel="0" collapsed="false">
      <c r="A29" s="18" t="s">
        <v>152</v>
      </c>
      <c r="B29" s="18" t="s">
        <v>32</v>
      </c>
      <c r="C29" s="18" t="s">
        <v>148</v>
      </c>
      <c r="D29" s="18" t="s">
        <v>153</v>
      </c>
      <c r="E29" s="18"/>
      <c r="F29" s="18" t="s">
        <v>154</v>
      </c>
      <c r="G29" s="18" t="s">
        <v>155</v>
      </c>
      <c r="H29" s="8" t="n">
        <v>2</v>
      </c>
      <c r="I29" s="19"/>
      <c r="J29" s="19"/>
      <c r="K29" s="19"/>
      <c r="L29" s="19" t="s">
        <v>59</v>
      </c>
      <c r="M29" s="19"/>
      <c r="N29" s="19" t="s">
        <v>60</v>
      </c>
      <c r="O29" s="19"/>
      <c r="P29" s="8" t="str">
        <f aca="false">IF(O29="Pass",1,IF(O29="Partial",0.5,IF(O29="Fail",0,"")))</f>
        <v/>
      </c>
      <c r="Q29" s="18"/>
    </row>
    <row r="30" customFormat="false" ht="43.5" hidden="false" customHeight="true" outlineLevel="0" collapsed="false">
      <c r="A30" s="18" t="s">
        <v>156</v>
      </c>
      <c r="B30" s="18" t="s">
        <v>32</v>
      </c>
      <c r="C30" s="18" t="s">
        <v>148</v>
      </c>
      <c r="D30" s="18" t="s">
        <v>157</v>
      </c>
      <c r="E30" s="18"/>
      <c r="F30" s="18" t="s">
        <v>158</v>
      </c>
      <c r="G30" s="18" t="s">
        <v>159</v>
      </c>
      <c r="H30" s="8" t="n">
        <v>2</v>
      </c>
      <c r="I30" s="19"/>
      <c r="J30" s="19"/>
      <c r="K30" s="19"/>
      <c r="L30" s="19" t="s">
        <v>59</v>
      </c>
      <c r="M30" s="19"/>
      <c r="N30" s="19" t="s">
        <v>60</v>
      </c>
      <c r="O30" s="19"/>
      <c r="P30" s="8" t="str">
        <f aca="false">IF(O30="Pass",1,IF(O30="Partial",0.5,IF(O30="Fail",0,"")))</f>
        <v/>
      </c>
      <c r="Q30" s="18"/>
    </row>
    <row r="31" customFormat="false" ht="43.5" hidden="false" customHeight="true" outlineLevel="0" collapsed="false">
      <c r="A31" s="18" t="s">
        <v>160</v>
      </c>
      <c r="B31" s="18" t="s">
        <v>32</v>
      </c>
      <c r="C31" s="18" t="s">
        <v>148</v>
      </c>
      <c r="D31" s="18" t="s">
        <v>161</v>
      </c>
      <c r="E31" s="18" t="s">
        <v>162</v>
      </c>
      <c r="F31" s="18" t="s">
        <v>163</v>
      </c>
      <c r="G31" s="18" t="s">
        <v>164</v>
      </c>
      <c r="H31" s="8" t="n">
        <v>2</v>
      </c>
      <c r="I31" s="19"/>
      <c r="J31" s="19"/>
      <c r="K31" s="19"/>
      <c r="L31" s="19" t="s">
        <v>59</v>
      </c>
      <c r="M31" s="19"/>
      <c r="N31" s="19" t="s">
        <v>60</v>
      </c>
      <c r="O31" s="19"/>
      <c r="P31" s="8" t="str">
        <f aca="false">IF(O31="Pass",1,IF(O31="Partial",0.5,IF(O31="Fail",0,"")))</f>
        <v/>
      </c>
      <c r="Q31" s="18"/>
    </row>
    <row r="32" customFormat="false" ht="43.5" hidden="false" customHeight="true" outlineLevel="0" collapsed="false">
      <c r="A32" s="18" t="s">
        <v>165</v>
      </c>
      <c r="B32" s="18" t="s">
        <v>32</v>
      </c>
      <c r="C32" s="18" t="s">
        <v>148</v>
      </c>
      <c r="D32" s="18" t="s">
        <v>166</v>
      </c>
      <c r="E32" s="18" t="s">
        <v>167</v>
      </c>
      <c r="F32" s="18" t="s">
        <v>168</v>
      </c>
      <c r="G32" s="18" t="s">
        <v>169</v>
      </c>
      <c r="H32" s="8" t="n">
        <v>2</v>
      </c>
      <c r="I32" s="19"/>
      <c r="J32" s="19"/>
      <c r="K32" s="19"/>
      <c r="L32" s="19" t="s">
        <v>59</v>
      </c>
      <c r="M32" s="19"/>
      <c r="N32" s="19" t="s">
        <v>60</v>
      </c>
      <c r="O32" s="19"/>
      <c r="P32" s="8" t="str">
        <f aca="false">IF(O32="Pass",1,IF(O32="Partial",0.5,IF(O32="Fail",0,"")))</f>
        <v/>
      </c>
      <c r="Q32" s="18"/>
    </row>
    <row r="33" customFormat="false" ht="43.5" hidden="false" customHeight="true" outlineLevel="0" collapsed="false">
      <c r="A33" s="18" t="s">
        <v>170</v>
      </c>
      <c r="B33" s="18" t="s">
        <v>33</v>
      </c>
      <c r="C33" s="18" t="s">
        <v>111</v>
      </c>
      <c r="D33" s="18" t="s">
        <v>171</v>
      </c>
      <c r="E33" s="18" t="s">
        <v>172</v>
      </c>
      <c r="F33" s="18" t="s">
        <v>173</v>
      </c>
      <c r="G33" s="18"/>
      <c r="H33" s="8" t="n">
        <v>1</v>
      </c>
      <c r="I33" s="19"/>
      <c r="J33" s="19"/>
      <c r="K33" s="19"/>
      <c r="L33" s="19" t="s">
        <v>59</v>
      </c>
      <c r="M33" s="19"/>
      <c r="N33" s="19" t="s">
        <v>60</v>
      </c>
      <c r="O33" s="19"/>
      <c r="P33" s="8" t="str">
        <f aca="false">IF(O33="Pass",1,IF(O33="Partial",0.5,IF(O33="Fail",0,"")))</f>
        <v/>
      </c>
      <c r="Q33" s="18"/>
    </row>
    <row r="34" customFormat="false" ht="43.5" hidden="false" customHeight="true" outlineLevel="0" collapsed="false">
      <c r="A34" s="18" t="s">
        <v>174</v>
      </c>
      <c r="B34" s="18" t="s">
        <v>33</v>
      </c>
      <c r="C34" s="18" t="s">
        <v>111</v>
      </c>
      <c r="D34" s="18" t="s">
        <v>175</v>
      </c>
      <c r="E34" s="18" t="s">
        <v>113</v>
      </c>
      <c r="F34" s="18" t="s">
        <v>176</v>
      </c>
      <c r="G34" s="18" t="s">
        <v>177</v>
      </c>
      <c r="H34" s="8" t="n">
        <v>1</v>
      </c>
      <c r="I34" s="19"/>
      <c r="J34" s="19"/>
      <c r="K34" s="19"/>
      <c r="L34" s="19" t="s">
        <v>59</v>
      </c>
      <c r="M34" s="19"/>
      <c r="N34" s="19" t="s">
        <v>60</v>
      </c>
      <c r="O34" s="19"/>
      <c r="P34" s="8" t="str">
        <f aca="false">IF(O34="Pass",1,IF(O34="Partial",0.5,IF(O34="Fail",0,"")))</f>
        <v/>
      </c>
      <c r="Q34" s="18"/>
    </row>
    <row r="35" customFormat="false" ht="43.5" hidden="false" customHeight="true" outlineLevel="0" collapsed="false">
      <c r="A35" s="18" t="s">
        <v>178</v>
      </c>
      <c r="B35" s="18" t="s">
        <v>33</v>
      </c>
      <c r="C35" s="18" t="s">
        <v>111</v>
      </c>
      <c r="D35" s="18" t="s">
        <v>179</v>
      </c>
      <c r="E35" s="18" t="s">
        <v>180</v>
      </c>
      <c r="F35" s="18" t="s">
        <v>181</v>
      </c>
      <c r="G35" s="18"/>
      <c r="H35" s="8" t="n">
        <v>1</v>
      </c>
      <c r="I35" s="19"/>
      <c r="J35" s="19"/>
      <c r="K35" s="19"/>
      <c r="L35" s="19" t="s">
        <v>59</v>
      </c>
      <c r="M35" s="19"/>
      <c r="N35" s="19" t="s">
        <v>60</v>
      </c>
      <c r="O35" s="19"/>
      <c r="P35" s="8" t="str">
        <f aca="false">IF(O35="Pass",1,IF(O35="Partial",0.5,IF(O35="Fail",0,"")))</f>
        <v/>
      </c>
      <c r="Q35" s="18"/>
    </row>
    <row r="36" customFormat="false" ht="43.5" hidden="false" customHeight="true" outlineLevel="0" collapsed="false">
      <c r="A36" s="18" t="s">
        <v>182</v>
      </c>
      <c r="B36" s="18" t="s">
        <v>34</v>
      </c>
      <c r="C36" s="18" t="s">
        <v>183</v>
      </c>
      <c r="D36" s="18" t="s">
        <v>184</v>
      </c>
      <c r="E36" s="18" t="s">
        <v>185</v>
      </c>
      <c r="F36" s="18" t="s">
        <v>186</v>
      </c>
      <c r="G36" s="18"/>
      <c r="H36" s="8" t="n">
        <v>1</v>
      </c>
      <c r="I36" s="19"/>
      <c r="J36" s="19"/>
      <c r="K36" s="19"/>
      <c r="L36" s="19" t="s">
        <v>59</v>
      </c>
      <c r="M36" s="19"/>
      <c r="N36" s="19" t="s">
        <v>60</v>
      </c>
      <c r="O36" s="19"/>
      <c r="P36" s="8" t="str">
        <f aca="false">IF(O36="Pass",1,IF(O36="Partial",0.5,IF(O36="Fail",0,"")))</f>
        <v/>
      </c>
      <c r="Q36" s="18"/>
    </row>
    <row r="37" customFormat="false" ht="43.5" hidden="false" customHeight="true" outlineLevel="0" collapsed="false">
      <c r="A37" s="18" t="s">
        <v>187</v>
      </c>
      <c r="B37" s="18" t="s">
        <v>34</v>
      </c>
      <c r="C37" s="18" t="s">
        <v>183</v>
      </c>
      <c r="D37" s="18" t="s">
        <v>188</v>
      </c>
      <c r="E37" s="18" t="s">
        <v>185</v>
      </c>
      <c r="F37" s="18" t="s">
        <v>189</v>
      </c>
      <c r="G37" s="18"/>
      <c r="H37" s="8" t="n">
        <v>1</v>
      </c>
      <c r="I37" s="19"/>
      <c r="J37" s="19"/>
      <c r="K37" s="19"/>
      <c r="L37" s="19" t="s">
        <v>59</v>
      </c>
      <c r="M37" s="19"/>
      <c r="N37" s="19" t="s">
        <v>60</v>
      </c>
      <c r="O37" s="19"/>
      <c r="P37" s="8" t="str">
        <f aca="false">IF(O37="Pass",1,IF(O37="Partial",0.5,IF(O37="Fail",0,"")))</f>
        <v/>
      </c>
      <c r="Q37" s="18"/>
    </row>
    <row r="38" customFormat="false" ht="43.5" hidden="false" customHeight="true" outlineLevel="0" collapsed="false">
      <c r="A38" s="18" t="s">
        <v>190</v>
      </c>
      <c r="B38" s="18" t="s">
        <v>34</v>
      </c>
      <c r="C38" s="18" t="s">
        <v>183</v>
      </c>
      <c r="D38" s="18" t="s">
        <v>191</v>
      </c>
      <c r="E38" s="18" t="s">
        <v>185</v>
      </c>
      <c r="F38" s="18" t="s">
        <v>192</v>
      </c>
      <c r="G38" s="18" t="s">
        <v>193</v>
      </c>
      <c r="H38" s="8" t="n">
        <v>1</v>
      </c>
      <c r="I38" s="19"/>
      <c r="J38" s="19"/>
      <c r="K38" s="19"/>
      <c r="L38" s="19" t="s">
        <v>59</v>
      </c>
      <c r="M38" s="19"/>
      <c r="N38" s="19" t="s">
        <v>60</v>
      </c>
      <c r="O38" s="19"/>
      <c r="P38" s="8" t="str">
        <f aca="false">IF(O38="Pass",1,IF(O38="Partial",0.5,IF(O38="Fail",0,"")))</f>
        <v/>
      </c>
      <c r="Q38" s="18"/>
    </row>
    <row r="39" customFormat="false" ht="43.5" hidden="false" customHeight="true" outlineLevel="0" collapsed="false">
      <c r="A39" s="18" t="s">
        <v>194</v>
      </c>
      <c r="B39" s="18" t="s">
        <v>34</v>
      </c>
      <c r="C39" s="18" t="s">
        <v>183</v>
      </c>
      <c r="D39" s="18" t="s">
        <v>195</v>
      </c>
      <c r="E39" s="18" t="s">
        <v>185</v>
      </c>
      <c r="F39" s="18" t="s">
        <v>196</v>
      </c>
      <c r="G39" s="18"/>
      <c r="H39" s="8" t="n">
        <v>1</v>
      </c>
      <c r="I39" s="19"/>
      <c r="J39" s="19"/>
      <c r="K39" s="19"/>
      <c r="L39" s="19" t="s">
        <v>59</v>
      </c>
      <c r="M39" s="19"/>
      <c r="N39" s="19" t="s">
        <v>60</v>
      </c>
      <c r="O39" s="19"/>
      <c r="P39" s="8" t="str">
        <f aca="false">IF(O39="Pass",1,IF(O39="Partial",0.5,IF(O39="Fail",0,"")))</f>
        <v/>
      </c>
      <c r="Q39" s="18"/>
    </row>
    <row r="40" customFormat="false" ht="43.5" hidden="false" customHeight="true" outlineLevel="0" collapsed="false">
      <c r="A40" s="18" t="s">
        <v>197</v>
      </c>
      <c r="B40" s="18" t="s">
        <v>34</v>
      </c>
      <c r="C40" s="18" t="s">
        <v>183</v>
      </c>
      <c r="D40" s="18" t="s">
        <v>198</v>
      </c>
      <c r="E40" s="18" t="s">
        <v>185</v>
      </c>
      <c r="F40" s="18" t="s">
        <v>199</v>
      </c>
      <c r="G40" s="18"/>
      <c r="H40" s="8" t="n">
        <v>1</v>
      </c>
      <c r="I40" s="19"/>
      <c r="J40" s="19"/>
      <c r="K40" s="19"/>
      <c r="L40" s="19" t="s">
        <v>59</v>
      </c>
      <c r="M40" s="19"/>
      <c r="N40" s="19" t="s">
        <v>60</v>
      </c>
      <c r="O40" s="19"/>
      <c r="P40" s="8" t="str">
        <f aca="false">IF(O40="Pass",1,IF(O40="Partial",0.5,IF(O40="Fail",0,"")))</f>
        <v/>
      </c>
      <c r="Q40" s="18"/>
    </row>
    <row r="41" customFormat="false" ht="43.5" hidden="false" customHeight="true" outlineLevel="0" collapsed="false">
      <c r="A41" s="18" t="s">
        <v>200</v>
      </c>
      <c r="B41" s="18" t="s">
        <v>35</v>
      </c>
      <c r="C41" s="18" t="s">
        <v>201</v>
      </c>
      <c r="D41" s="18" t="s">
        <v>202</v>
      </c>
      <c r="E41" s="18" t="s">
        <v>203</v>
      </c>
      <c r="F41" s="18" t="s">
        <v>204</v>
      </c>
      <c r="G41" s="18"/>
      <c r="H41" s="8" t="n">
        <v>1</v>
      </c>
      <c r="I41" s="19"/>
      <c r="J41" s="19"/>
      <c r="K41" s="19"/>
      <c r="L41" s="19" t="s">
        <v>59</v>
      </c>
      <c r="M41" s="19"/>
      <c r="N41" s="19" t="s">
        <v>60</v>
      </c>
      <c r="O41" s="19"/>
      <c r="P41" s="8" t="str">
        <f aca="false">IF(O41="Pass",1,IF(O41="Partial",0.5,IF(O41="Fail",0,"")))</f>
        <v/>
      </c>
      <c r="Q41" s="18"/>
    </row>
    <row r="42" customFormat="false" ht="43.5" hidden="false" customHeight="true" outlineLevel="0" collapsed="false">
      <c r="A42" s="18" t="s">
        <v>205</v>
      </c>
      <c r="B42" s="18" t="s">
        <v>35</v>
      </c>
      <c r="C42" s="18" t="s">
        <v>201</v>
      </c>
      <c r="D42" s="18" t="s">
        <v>206</v>
      </c>
      <c r="E42" s="18" t="s">
        <v>207</v>
      </c>
      <c r="F42" s="18" t="s">
        <v>208</v>
      </c>
      <c r="G42" s="18"/>
      <c r="H42" s="8" t="n">
        <v>1</v>
      </c>
      <c r="I42" s="19"/>
      <c r="J42" s="19"/>
      <c r="K42" s="19"/>
      <c r="L42" s="19" t="s">
        <v>59</v>
      </c>
      <c r="M42" s="19"/>
      <c r="N42" s="19" t="s">
        <v>60</v>
      </c>
      <c r="O42" s="19"/>
      <c r="P42" s="8" t="str">
        <f aca="false">IF(O42="Pass",1,IF(O42="Partial",0.5,IF(O42="Fail",0,"")))</f>
        <v/>
      </c>
      <c r="Q42" s="18"/>
    </row>
    <row r="43" customFormat="false" ht="43.5" hidden="false" customHeight="true" outlineLevel="0" collapsed="false">
      <c r="A43" s="18" t="s">
        <v>209</v>
      </c>
      <c r="B43" s="18" t="s">
        <v>35</v>
      </c>
      <c r="C43" s="18" t="s">
        <v>201</v>
      </c>
      <c r="D43" s="18" t="s">
        <v>210</v>
      </c>
      <c r="E43" s="18" t="s">
        <v>207</v>
      </c>
      <c r="F43" s="18" t="s">
        <v>211</v>
      </c>
      <c r="G43" s="18"/>
      <c r="H43" s="8" t="n">
        <v>1</v>
      </c>
      <c r="I43" s="19"/>
      <c r="J43" s="19"/>
      <c r="K43" s="19"/>
      <c r="L43" s="19" t="s">
        <v>59</v>
      </c>
      <c r="M43" s="19"/>
      <c r="N43" s="19" t="s">
        <v>60</v>
      </c>
      <c r="O43" s="19"/>
      <c r="P43" s="8" t="str">
        <f aca="false">IF(O43="Pass",1,IF(O43="Partial",0.5,IF(O43="Fail",0,"")))</f>
        <v/>
      </c>
      <c r="Q43" s="18"/>
    </row>
  </sheetData>
  <autoFilter ref="A1:Q43"/>
  <conditionalFormatting sqref="O2:O43">
    <cfRule type="expression" priority="2" aboveAverage="0" equalAverage="0" bottom="0" percent="0" rank="0" text="" dxfId="4">
      <formula>O2="Pass"</formula>
    </cfRule>
    <cfRule type="expression" priority="3" aboveAverage="0" equalAverage="0" bottom="0" percent="0" rank="0" text="" dxfId="5">
      <formula>O2="Fail"</formula>
    </cfRule>
  </conditionalFormatting>
  <dataValidations count="3">
    <dataValidation allowBlank="true" errorStyle="stop" operator="between" showDropDown="false" showErrorMessage="false" showInputMessage="false" sqref="N2:N43" type="list">
      <formula1>"Draft,Ready,Retired"</formula1>
      <formula2>0</formula2>
    </dataValidation>
    <dataValidation allowBlank="true" errorStyle="stop" operator="between" showDropDown="false" showErrorMessage="false" showInputMessage="false" sqref="O2:O43" type="list">
      <formula1>"Pass,Partial,Fail"</formula1>
      <formula2>0</formula2>
    </dataValidation>
    <dataValidation allowBlank="true" errorStyle="stop" operator="between" showDropDown="false" showErrorMessage="false" showInputMessage="false" sqref="L2:L43" type="list">
      <formula1>"FIT_STANDARD,FIT_CONFIG,GAP_DEVELOPMENT,UNKNOWN,n/a"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2026-09-21T05:23:40Z</dcterms:created>
  <dc:creator>openpyxl</dc:creator>
  <dc:description/>
  <dc:language>en-US</dc:language>
  <cp:lastModifiedBy/>
  <dcterms:modified xsi:type="dcterms:W3CDTF">2026-09-21T05:23:40Z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